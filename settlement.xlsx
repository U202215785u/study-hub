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35" windowHeight="10212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<sst xmlns="http://schemas.openxmlformats.org/spreadsheetml/2006/main" count="45" uniqueCount="37">
  <si>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r>
      <rPr>
        <sz val="22"/>
        <color theme="1"/>
        <rFont val="公文小标宋简"/>
        <charset val="134"/>
      </rPr>
      <t>2026年设计学院数字媒体艺术专业章烨涛（姓名）</t>
    </r>
    <r>
      <rPr>
        <u/>
        <sz val="22"/>
        <color theme="1"/>
        <rFont val="公文小标宋简"/>
        <charset val="134"/>
      </rPr>
      <t>U202215785（</t>
    </r>
    <r>
      <rPr>
        <sz val="22"/>
        <color theme="1"/>
        <rFont val="公文小标宋简"/>
        <charset val="134"/>
      </rPr>
      <t>学号）花销结算单</t>
    </r>
  </si>
  <si>
    <t>部门</t>
  </si>
  <si>
    <t>项目</t>
  </si>
  <si>
    <t>数量</t>
  </si>
  <si>
    <t>单价（元）</t>
  </si>
  <si>
    <t>项目
序号</t>
  </si>
  <si>
    <t>项目品名</t>
  </si>
  <si>
    <t>项目规格</t>
  </si>
  <si>
    <t>项目明细数量
（单位）</t>
  </si>
  <si>
    <t>项目明细
单价（元）</t>
  </si>
  <si>
    <t>项目明细合计
（元）</t>
  </si>
  <si>
    <t>用途</t>
  </si>
  <si>
    <t>发票</t>
  </si>
  <si>
    <t>合计（元）</t>
  </si>
  <si>
    <t>备注</t>
  </si>
  <si>
    <t>展板打印1</t>
  </si>
  <si>
    <t>①</t>
  </si>
  <si>
    <t>个人账户：章烨涛</t>
  </si>
  <si>
    <t>租借电脑</t>
  </si>
  <si>
    <t>②</t>
  </si>
  <si>
    <t>图册打印</t>
  </si>
  <si>
    <t>③</t>
  </si>
  <si>
    <t>运营api服务费</t>
  </si>
  <si>
    <t>④</t>
  </si>
  <si>
    <t>展板打印2</t>
  </si>
  <si>
    <t>⑤</t>
  </si>
  <si>
    <t>服务器</t>
  </si>
  <si>
    <t>⑥</t>
  </si>
  <si>
    <t>展板加印</t>
  </si>
  <si>
    <t>⑦</t>
  </si>
  <si>
    <t>物料打印</t>
  </si>
  <si>
    <t>不等</t>
  </si>
  <si>
    <t>⑧</t>
  </si>
  <si>
    <t>电脑支架</t>
  </si>
  <si>
    <t>⑨</t>
  </si>
  <si>
    <t>合计1384（元）</t>
  </si>
  <si>
    <t>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</si>
</sst>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22"/>
      <color theme="1"/>
      <name val="公文小标宋简"/>
      <charset val="134"/>
    </font>
    <font>
      <sz val="16"/>
      <color theme="1"/>
      <name val="宋体"/>
      <charset val="134"/>
      <scheme val="minor"/>
    </font>
    <font>
      <sz val="12"/>
      <color theme="1"/>
      <name val="仿宋_GB2312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22"/>
      <color theme="1"/>
      <name val="公文小标宋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/>
    </xf>
    <xf numFmtId="176" fontId="3" fillId="0" borderId="6" xfId="0" applyNumberFormat="1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 wrapText="1"/>
    </xf>
    <xf numFmtId="176" fontId="3" fillId="0" borderId="8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 wrapText="1"/>
    </xf>
    <xf numFmtId="176" fontId="3" fillId="0" borderId="11" xfId="0" applyNumberFormat="1" applyFont="1" applyFill="1" applyBorder="1" applyAlignment="1">
      <alignment horizontal="center" vertical="center" wrapText="1"/>
    </xf>
    <xf numFmtId="176" fontId="3" fillId="0" borderId="12" xfId="0" applyNumberFormat="1" applyFont="1" applyFill="1" applyBorder="1" applyAlignment="1">
      <alignment horizontal="center" vertical="center" wrapText="1"/>
    </xf>
    <xf numFmtId="176" fontId="3" fillId="0" borderId="13" xfId="0" applyNumberFormat="1" applyFont="1" applyFill="1" applyBorder="1" applyAlignment="1">
      <alignment horizontal="center" vertical="center" wrapText="1"/>
    </xf>
    <xf numFmtId="176" fontId="3" fillId="0" borderId="14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76" fontId="3" fillId="0" borderId="14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467042</xdr:colOff>
      <xdr:row>11</xdr:row>
      <xdr:rowOff>36512</xdr:rowOff>
    </xdr:from>
    <xdr:to>
      <xdr:col>13</xdr:col>
      <xdr:colOff>1070927</xdr:colOff>
      <xdr:row>11</xdr:row>
      <xdr:rowOff>370522</xdr:rowOff>
    </xdr:to>
    <xdr:pic>
      <xdr:nvPicPr>
        <xdr:cNvPr id="2" name="图片 1" descr="微信图片_20260518212254_4382_1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11579860" y="4130040"/>
          <a:ext cx="334010" cy="603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7"/>
  <sheetViews>
    <sheetView tabSelected="1" topLeftCell="A2" workbookViewId="0">
      <selection activeCell="C7" sqref="C7"/>
    </sheetView>
  </sheetViews>
  <sheetFormatPr defaultColWidth="9" defaultRowHeight="14.4"/>
  <cols>
    <col min="2" max="2" width="22.75" customWidth="1"/>
    <col min="3" max="3" width="6.25" customWidth="1"/>
    <col min="4" max="4" width="10.6388888888889"/>
    <col min="5" max="5" width="5" customWidth="1"/>
    <col min="6" max="6" width="10.6388888888889"/>
    <col min="7" max="7" width="15.5" customWidth="1"/>
    <col min="8" max="8" width="14.25" customWidth="1"/>
    <col min="9" max="9" width="12.1296296296296" customWidth="1"/>
    <col min="10" max="10" width="13.8796296296296" customWidth="1"/>
    <col min="11" max="11" width="22.6296296296296" customWidth="1"/>
    <col min="12" max="12" width="6.75" customWidth="1"/>
    <col min="13" max="13" width="10.6666666666667"/>
    <col min="14" max="14" width="19.7777777777778" customWidth="1"/>
  </cols>
  <sheetData>
    <row r="1" ht="39" customHeight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6" customHeight="1" spans="1: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3" t="s">
        <v>13</v>
      </c>
      <c r="N2" s="5" t="s">
        <v>14</v>
      </c>
    </row>
    <row r="3" ht="21" customHeight="1" spans="1:15">
      <c r="A3" s="6"/>
      <c r="B3" s="7" t="s">
        <v>15</v>
      </c>
      <c r="C3" s="8">
        <v>1</v>
      </c>
      <c r="D3" s="3">
        <v>270</v>
      </c>
      <c r="E3" s="9"/>
      <c r="F3" s="10"/>
      <c r="G3" s="10"/>
      <c r="H3" s="10"/>
      <c r="I3" s="10"/>
      <c r="J3" s="10"/>
      <c r="K3" s="11"/>
      <c r="L3" s="4" t="s">
        <v>16</v>
      </c>
      <c r="M3" s="3">
        <v>270</v>
      </c>
      <c r="N3" s="4" t="s">
        <v>17</v>
      </c>
    </row>
    <row r="4" ht="21" customHeight="1" spans="1:15">
      <c r="A4" s="12"/>
      <c r="B4" s="7" t="s">
        <v>18</v>
      </c>
      <c r="C4" s="8">
        <v>1</v>
      </c>
      <c r="D4" s="3">
        <v>100</v>
      </c>
      <c r="E4" s="13"/>
      <c r="F4" s="14"/>
      <c r="G4" s="14"/>
      <c r="H4" s="14"/>
      <c r="I4" s="14"/>
      <c r="J4" s="14"/>
      <c r="K4" s="15"/>
      <c r="L4" s="4" t="s">
        <v>19</v>
      </c>
      <c r="M4" s="3">
        <v>100</v>
      </c>
      <c r="N4" s="4" t="s">
        <v>17</v>
      </c>
    </row>
    <row r="5" ht="24" customHeight="1" spans="1:15">
      <c r="A5" s="12"/>
      <c r="B5" s="7" t="s">
        <v>20</v>
      </c>
      <c r="C5" s="8">
        <v>1</v>
      </c>
      <c r="D5" s="3">
        <v>111.6</v>
      </c>
      <c r="E5" s="13"/>
      <c r="F5" s="14"/>
      <c r="G5" s="14"/>
      <c r="H5" s="14"/>
      <c r="I5" s="14"/>
      <c r="J5" s="14"/>
      <c r="K5" s="15"/>
      <c r="L5" s="4" t="s">
        <v>21</v>
      </c>
      <c r="M5" s="3">
        <v>111.6</v>
      </c>
      <c r="N5" s="4" t="s">
        <v>17</v>
      </c>
    </row>
    <row r="6" ht="32" customHeight="1" spans="1:15">
      <c r="A6" s="12"/>
      <c r="B6" s="16" t="s">
        <v>22</v>
      </c>
      <c r="C6" s="5">
        <v>1</v>
      </c>
      <c r="D6" s="16">
        <v>200</v>
      </c>
      <c r="E6" s="13"/>
      <c r="F6" s="14"/>
      <c r="G6" s="14"/>
      <c r="H6" s="14"/>
      <c r="I6" s="14"/>
      <c r="J6" s="14"/>
      <c r="K6" s="15"/>
      <c r="L6" s="4" t="s">
        <v>23</v>
      </c>
      <c r="M6" s="3">
        <v>200</v>
      </c>
      <c r="N6" s="4" t="s">
        <v>17</v>
      </c>
    </row>
    <row r="7" ht="32" customHeight="1" spans="1:15">
      <c r="A7" s="12"/>
      <c r="B7" s="5" t="s">
        <v>24</v>
      </c>
      <c r="C7" s="5">
        <v>2</v>
      </c>
      <c r="D7" s="5">
        <v>70</v>
      </c>
      <c r="E7" s="13"/>
      <c r="F7" s="14"/>
      <c r="G7" s="14"/>
      <c r="H7" s="14"/>
      <c r="I7" s="14"/>
      <c r="J7" s="14"/>
      <c r="K7" s="15"/>
      <c r="L7" s="4" t="s">
        <v>25</v>
      </c>
      <c r="M7" s="3">
        <v>140</v>
      </c>
      <c r="N7" s="4" t="s">
        <v>17</v>
      </c>
    </row>
    <row r="8" ht="32" customHeight="1" spans="1:15">
      <c r="A8" s="12"/>
      <c r="B8" s="5" t="s">
        <v>26</v>
      </c>
      <c r="C8" s="5">
        <v>1</v>
      </c>
      <c r="D8" s="5">
        <v>99</v>
      </c>
      <c r="E8" s="13"/>
      <c r="F8" s="14"/>
      <c r="G8" s="14"/>
      <c r="H8" s="14"/>
      <c r="I8" s="14"/>
      <c r="J8" s="14"/>
      <c r="K8" s="15"/>
      <c r="L8" s="4" t="s">
        <v>27</v>
      </c>
      <c r="M8" s="3">
        <v>99</v>
      </c>
      <c r="N8" s="4" t="s">
        <v>17</v>
      </c>
    </row>
    <row r="9" ht="32" customHeight="1" spans="1:15">
      <c r="A9" s="12"/>
      <c r="B9" s="5" t="s">
        <v>28</v>
      </c>
      <c r="C9" s="5">
        <v>1</v>
      </c>
      <c r="D9" s="5">
        <v>100</v>
      </c>
      <c r="E9" s="13"/>
      <c r="F9" s="14"/>
      <c r="G9" s="14"/>
      <c r="H9" s="14"/>
      <c r="I9" s="14"/>
      <c r="J9" s="14"/>
      <c r="K9" s="15"/>
      <c r="L9" s="4" t="s">
        <v>29</v>
      </c>
      <c r="M9" s="3">
        <v>100</v>
      </c>
      <c r="N9" s="4" t="s">
        <v>17</v>
      </c>
    </row>
    <row r="10" ht="32" customHeight="1" spans="1:15">
      <c r="A10" s="12"/>
      <c r="B10" s="5" t="s">
        <v>30</v>
      </c>
      <c r="C10" s="5">
        <v>6</v>
      </c>
      <c r="D10" s="5" t="s">
        <v>31</v>
      </c>
      <c r="E10" s="13"/>
      <c r="F10" s="14"/>
      <c r="G10" s="14"/>
      <c r="H10" s="14"/>
      <c r="I10" s="14"/>
      <c r="J10" s="14"/>
      <c r="K10" s="15"/>
      <c r="L10" s="17" t="s">
        <v>32</v>
      </c>
      <c r="M10" s="18">
        <v>225</v>
      </c>
      <c r="N10" s="4" t="s">
        <v>17</v>
      </c>
    </row>
    <row r="11" ht="32" customHeight="1" spans="1:15">
      <c r="A11" s="19"/>
      <c r="B11" s="5" t="s">
        <v>33</v>
      </c>
      <c r="C11" s="5">
        <v>1</v>
      </c>
      <c r="D11" s="5">
        <v>139</v>
      </c>
      <c r="E11" s="20"/>
      <c r="F11" s="21"/>
      <c r="G11" s="21"/>
      <c r="H11" s="21"/>
      <c r="I11" s="21"/>
      <c r="J11" s="21"/>
      <c r="K11" s="22"/>
      <c r="L11" s="4" t="s">
        <v>34</v>
      </c>
      <c r="M11" s="5">
        <v>139</v>
      </c>
      <c r="N11" s="4" t="s">
        <v>17</v>
      </c>
    </row>
    <row r="12" ht="32" customHeight="1" spans="1:15">
      <c r="A12" s="23" t="s">
        <v>35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8">
        <f>SUM(M3:M11)</f>
        <v>1384.6</v>
      </c>
      <c r="N12" s="25" t="s">
        <v>36</v>
      </c>
    </row>
    <row r="15" ht="27.75" customHeight="1" spans="1:15">
      <c r="O15" s="26"/>
    </row>
    <row r="17" spans="11:11">
      <c r="K17" s="27"/>
    </row>
  </sheetData>
  <mergeCells count="4">
    <mergeCell ref="A1:N1"/>
    <mergeCell ref="A12:L12"/>
    <mergeCell ref="A3:A11"/>
    <mergeCell ref="E3:K11"/>
  </mergeCells>
  <pageMargins left="0.75" right="0.75" top="1" bottom="1" header="0.5" footer="0.5"/>
  <pageSetup paperSize="9" scale="75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2024-12-16T02:25:00Z</dcterms:created>
  <dcterms:modified xsi:type="dcterms:W3CDTF">2026-05-19T05:20:06Z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5B7C31F8131F413DA949A6F321860F81_13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